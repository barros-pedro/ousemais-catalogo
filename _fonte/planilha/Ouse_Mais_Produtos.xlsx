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preencher" sheetId="1" state="visible" r:id="rId3"/>
    <sheet name="Produtos" sheetId="2" state="visible" r:id="rId4"/>
    <sheet name="Kits" sheetId="3" state="visible" r:id="rId5"/>
    <sheet name="Categorias" sheetId="4" state="visible" r:id="rId6"/>
    <sheet name="Entrega e pagament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Deixe vazio para continuar como "Preço sob consulta".</t>
        </r>
      </text>
    </comment>
    <comment ref="H1" authorId="0">
      <text>
        <r>
          <rPr>
            <sz val="10"/>
            <rFont val="Arial"/>
            <family val="2"/>
          </rPr>
          <t xml:space="preserve">Opcional. Preencha só se o produto estiver em promoção; o site mostra "de / por".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Calculado: soma o preço de cada item na aba Produtos. Fica "-" enquanto os preços não forem preenchidos.</t>
        </r>
      </text>
    </comment>
  </commentList>
</comments>
</file>

<file path=xl/sharedStrings.xml><?xml version="1.0" encoding="utf-8"?>
<sst xmlns="http://schemas.openxmlformats.org/spreadsheetml/2006/main" count="181" uniqueCount="129">
  <si>
    <t xml:space="preserve">Planilha de produtos — Catálogo Ouse Mais</t>
  </si>
  <si>
    <t xml:space="preserve">Preencha os campos em amarelo. Depois me envie a planilha que eu atualizo o site com os valores.</t>
  </si>
  <si>
    <t xml:space="preserve">Legenda</t>
  </si>
  <si>
    <t xml:space="preserve">AMARELO = você preenche</t>
  </si>
  <si>
    <t xml:space="preserve">CINZA = código interno do site, não altere</t>
  </si>
  <si>
    <t xml:space="preserve">Sem cor = já preenchido com o que está no site (pode corrigir se algo estiver errado)</t>
  </si>
  <si>
    <t xml:space="preserve">Abas</t>
  </si>
  <si>
    <t xml:space="preserve">Produtos: preço, preço antigo (para mostrar "de/por"), ranking de mais vendidos e se está disponível ou esgotado.</t>
  </si>
  <si>
    <t xml:space="preserve">Kits: preço de cada kit. A planilha soma o preço dos itens separados e calcula quanto o cliente economiza.</t>
  </si>
  <si>
    <t xml:space="preserve">Categorias: quantos produtos cada categoria tem hoje (calculado automaticamente).</t>
  </si>
  <si>
    <t xml:space="preserve">Entrega e pagamento: frete, prazo e formas de pagamento aceitas (o pagamento é feito no WhatsApp).</t>
  </si>
  <si>
    <t xml:space="preserve">Como preencher (exemplo)</t>
  </si>
  <si>
    <t xml:space="preserve">Preço: só o número, ex.: 29,90. Deixe vazio se ainda for "sob consulta".</t>
  </si>
  <si>
    <t xml:space="preserve">Preço antigo: só se o produto estiver em promoção, ex.: 39,90. O site mostra "de R$ 39,90 por R$ 29,90".</t>
  </si>
  <si>
    <t xml:space="preserve">Ranking mais vendidos: 1 para o que mais vende, 2 para o segundo e assim por diante. Os 3 primeiros ganham o selo "Mais vendido".</t>
  </si>
  <si>
    <t xml:space="preserve">Disponibilidade: escolha Disponível ou Esgotado na lista.</t>
  </si>
  <si>
    <t xml:space="preserve">Código do site</t>
  </si>
  <si>
    <t xml:space="preserve">Categoria</t>
  </si>
  <si>
    <t xml:space="preserve">Produto</t>
  </si>
  <si>
    <t xml:space="preserve">Marca</t>
  </si>
  <si>
    <t xml:space="preserve">Detalhes</t>
  </si>
  <si>
    <t xml:space="preserve">Opções (cores/frases)</t>
  </si>
  <si>
    <t xml:space="preserve">Preço (R$)</t>
  </si>
  <si>
    <t xml:space="preserve">Preço antigo "de" (R$)</t>
  </si>
  <si>
    <t xml:space="preserve">Ranking mais vendidos</t>
  </si>
  <si>
    <t xml:space="preserve">Disponibilidade</t>
  </si>
  <si>
    <t xml:space="preserve">Observações</t>
  </si>
  <si>
    <t xml:space="preserve">love-lub-hot</t>
  </si>
  <si>
    <t xml:space="preserve">Lubrificantes</t>
  </si>
  <si>
    <t xml:space="preserve">Love Lub Hot</t>
  </si>
  <si>
    <t xml:space="preserve">La Pimienta</t>
  </si>
  <si>
    <t xml:space="preserve">60 g, Base água</t>
  </si>
  <si>
    <t xml:space="preserve">Disponível</t>
  </si>
  <si>
    <t xml:space="preserve">love-lub-ice</t>
  </si>
  <si>
    <t xml:space="preserve">Love Lub Ice</t>
  </si>
  <si>
    <t xml:space="preserve">love-lub-neutro</t>
  </si>
  <si>
    <t xml:space="preserve">Love Lub Neutro</t>
  </si>
  <si>
    <t xml:space="preserve">aqua-silicon</t>
  </si>
  <si>
    <t xml:space="preserve">Aqua Silicon</t>
  </si>
  <si>
    <t xml:space="preserve">30 g</t>
  </si>
  <si>
    <t xml:space="preserve">rilex-morango</t>
  </si>
  <si>
    <t xml:space="preserve">Gel Lubrificante Morango</t>
  </si>
  <si>
    <t xml:space="preserve">Rilex</t>
  </si>
  <si>
    <t xml:space="preserve">50 g, Base água</t>
  </si>
  <si>
    <t xml:space="preserve">rilex-menta</t>
  </si>
  <si>
    <t xml:space="preserve">Gel Lubrificante Menta</t>
  </si>
  <si>
    <t xml:space="preserve">jato-sex-esquenta</t>
  </si>
  <si>
    <t xml:space="preserve">Jato Sex Esquenta</t>
  </si>
  <si>
    <t xml:space="preserve">Pepper Blend</t>
  </si>
  <si>
    <t xml:space="preserve">7 g</t>
  </si>
  <si>
    <t xml:space="preserve">d4-morango</t>
  </si>
  <si>
    <t xml:space="preserve">Comestíveis</t>
  </si>
  <si>
    <t xml:space="preserve">D4 Gel Beijável Morango</t>
  </si>
  <si>
    <t xml:space="preserve">Sexy Fantasy</t>
  </si>
  <si>
    <t xml:space="preserve">60 g, Beijável</t>
  </si>
  <si>
    <t xml:space="preserve">sedenta</t>
  </si>
  <si>
    <t xml:space="preserve">Sedenta por Oral</t>
  </si>
  <si>
    <t xml:space="preserve">Sedenta</t>
  </si>
  <si>
    <t xml:space="preserve">50 g, Glitter, Lolipop</t>
  </si>
  <si>
    <t xml:space="preserve">kuloko</t>
  </si>
  <si>
    <t xml:space="preserve">Kuloko Gel Beijável</t>
  </si>
  <si>
    <t xml:space="preserve">Hot Flowers</t>
  </si>
  <si>
    <t xml:space="preserve">15 g, Beijável</t>
  </si>
  <si>
    <t xml:space="preserve">calcinha-laco</t>
  </si>
  <si>
    <t xml:space="preserve">Calcinhas</t>
  </si>
  <si>
    <t xml:space="preserve">Calcinha Laço de Cetim</t>
  </si>
  <si>
    <t xml:space="preserve">Moda íntima</t>
  </si>
  <si>
    <t xml:space="preserve">Renda, Alças reguláveis</t>
  </si>
  <si>
    <t xml:space="preserve">Cor: Preto, Vermelho, Branco, Nude</t>
  </si>
  <si>
    <t xml:space="preserve">calcinha-frase</t>
  </si>
  <si>
    <t xml:space="preserve">Calcinha com Frase</t>
  </si>
  <si>
    <t xml:space="preserve">Renda, Letras douradas, Strass</t>
  </si>
  <si>
    <t xml:space="preserve">Frase: Me Chupa, Toda Sua, Safada, Me Fode, Delícia, Gostosa, Sua Puta, Me Come (cor a combinar)</t>
  </si>
  <si>
    <t xml:space="preserve">vibrador-curvo</t>
  </si>
  <si>
    <t xml:space="preserve">Vibradores</t>
  </si>
  <si>
    <t xml:space="preserve">Vibrador Curvo em U</t>
  </si>
  <si>
    <t xml:space="preserve">Vibrador</t>
  </si>
  <si>
    <t xml:space="preserve">Silicone, Rosa</t>
  </si>
  <si>
    <t xml:space="preserve">(novo)</t>
  </si>
  <si>
    <t xml:space="preserve">Linhas em amarelo vazias: use para cadastrar produtos novos (mande as fotos junto).</t>
  </si>
  <si>
    <t xml:space="preserve">Kit</t>
  </si>
  <si>
    <t xml:space="preserve">Item 1</t>
  </si>
  <si>
    <t xml:space="preserve">Item 2</t>
  </si>
  <si>
    <t xml:space="preserve">Item 3</t>
  </si>
  <si>
    <t xml:space="preserve">Soma dos itens separados (R$)</t>
  </si>
  <si>
    <t xml:space="preserve">Preço do kit (R$)</t>
  </si>
  <si>
    <t xml:space="preserve">Economia (R$)</t>
  </si>
  <si>
    <t xml:space="preserve">Economia (%)</t>
  </si>
  <si>
    <t xml:space="preserve">kit-a-dois</t>
  </si>
  <si>
    <t xml:space="preserve">Kit A Dois</t>
  </si>
  <si>
    <t xml:space="preserve">kit-love-lub</t>
  </si>
  <si>
    <t xml:space="preserve">Kit Love Lub Completo</t>
  </si>
  <si>
    <t xml:space="preserve">kit-beijavel</t>
  </si>
  <si>
    <t xml:space="preserve">Kit Beijável</t>
  </si>
  <si>
    <t xml:space="preserve">kit-descoberta</t>
  </si>
  <si>
    <t xml:space="preserve">Kit Descoberta</t>
  </si>
  <si>
    <t xml:space="preserve">Dica: deixe o preço do kit um pouco abaixo da soma dos itens. O site pode mostrar "economize R$ X", que é o que faz o cliente escolher o kit.</t>
  </si>
  <si>
    <t xml:space="preserve">Ordem no site</t>
  </si>
  <si>
    <t xml:space="preserve">Produtos no catálogo</t>
  </si>
  <si>
    <t xml:space="preserve">Situação</t>
  </si>
  <si>
    <t xml:space="preserve">Anais</t>
  </si>
  <si>
    <t xml:space="preserve">Jogos</t>
  </si>
  <si>
    <t xml:space="preserve">Lingeries</t>
  </si>
  <si>
    <t xml:space="preserve">Fantasias</t>
  </si>
  <si>
    <t xml:space="preserve">Anéis</t>
  </si>
  <si>
    <t xml:space="preserve">Kits</t>
  </si>
  <si>
    <t xml:space="preserve">Fetiches</t>
  </si>
  <si>
    <t xml:space="preserve">Cuidados</t>
  </si>
  <si>
    <t xml:space="preserve">Total</t>
  </si>
  <si>
    <t xml:space="preserve">Informação</t>
  </si>
  <si>
    <t xml:space="preserve">Resposta</t>
  </si>
  <si>
    <t xml:space="preserve">Para que serve no site</t>
  </si>
  <si>
    <t xml:space="preserve">Formas de pagamento aceitas</t>
  </si>
  <si>
    <t xml:space="preserve">Ex.: Pix, cartão, dinheiro na entrega. Aparece nos avisos do site; o pagamento continua sendo feito pelo WhatsApp.</t>
  </si>
  <si>
    <t xml:space="preserve">Parcela no cartão? Em quantas vezes?</t>
  </si>
  <si>
    <t xml:space="preserve">Mostrado nos avisos do site.</t>
  </si>
  <si>
    <t xml:space="preserve">Frete em Campestre</t>
  </si>
  <si>
    <t xml:space="preserve">Ex.: grátis, R$ 5, retirada na loja.</t>
  </si>
  <si>
    <t xml:space="preserve">Frete para outras cidades</t>
  </si>
  <si>
    <t xml:space="preserve">Ex.: valor fixo por cidade, Correios, combinado no WhatsApp.</t>
  </si>
  <si>
    <t xml:space="preserve">Frete grátis acima de (R$)</t>
  </si>
  <si>
    <t xml:space="preserve">Opcional. Cria a faixa "frete grátis acima de R$ X".</t>
  </si>
  <si>
    <t xml:space="preserve">Prazo de envio</t>
  </si>
  <si>
    <t xml:space="preserve">Ex.: envio no mesmo dia útil.</t>
  </si>
  <si>
    <t xml:space="preserve">Pode retirar na loja? Endereço</t>
  </si>
  <si>
    <t xml:space="preserve">Opcional.</t>
  </si>
  <si>
    <t xml:space="preserve">Embalagem sigilosa</t>
  </si>
  <si>
    <t xml:space="preserve">Sim</t>
  </si>
  <si>
    <t xml:space="preserve">Já está no site.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</si>
</sst>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;&quot;-R$ &quot;#,##0.00;\-"/>
    <numFmt numFmtId="166" formatCode="0%;\-0%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B0F7A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5B0F7A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D5E1"/>
      </left>
      <right style="thin">
        <color rgb="FFE5D5E1"/>
      </right>
      <top style="thin">
        <color rgb="FFE5D5E1"/>
      </top>
      <bottom style="thin">
        <color rgb="FFE5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5B0F7A"/>
      <rgbColor rgb="FFFF8080"/>
      <rgbColor rgb="FF0066CC"/>
      <rgbColor rgb="FFE5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6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 t="s">
        <v>13</v>
      </c>
    </row>
    <row r="18" customFormat="false" ht="23.8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</row>
    <row r="2" customFormat="false" ht="15" hidden="false" customHeight="false" outlineLevel="0" collapsed="false">
      <c r="A2" s="8" t="s">
        <v>27</v>
      </c>
      <c r="B2" s="9" t="s">
        <v>28</v>
      </c>
      <c r="C2" s="9" t="s">
        <v>29</v>
      </c>
      <c r="D2" s="9" t="s">
        <v>30</v>
      </c>
      <c r="E2" s="9" t="s">
        <v>31</v>
      </c>
      <c r="F2" s="9"/>
      <c r="G2" s="10"/>
      <c r="H2" s="10"/>
      <c r="I2" s="11"/>
      <c r="J2" s="11" t="s">
        <v>32</v>
      </c>
      <c r="K2" s="11"/>
    </row>
    <row r="3" customFormat="false" ht="15" hidden="false" customHeight="false" outlineLevel="0" collapsed="false">
      <c r="A3" s="8" t="s">
        <v>33</v>
      </c>
      <c r="B3" s="9" t="s">
        <v>28</v>
      </c>
      <c r="C3" s="9" t="s">
        <v>34</v>
      </c>
      <c r="D3" s="9" t="s">
        <v>30</v>
      </c>
      <c r="E3" s="9" t="s">
        <v>31</v>
      </c>
      <c r="F3" s="9"/>
      <c r="G3" s="10"/>
      <c r="H3" s="10"/>
      <c r="I3" s="11"/>
      <c r="J3" s="11" t="s">
        <v>32</v>
      </c>
      <c r="K3" s="11"/>
    </row>
    <row r="4" customFormat="false" ht="15" hidden="false" customHeight="false" outlineLevel="0" collapsed="false">
      <c r="A4" s="8" t="s">
        <v>35</v>
      </c>
      <c r="B4" s="9" t="s">
        <v>28</v>
      </c>
      <c r="C4" s="9" t="s">
        <v>36</v>
      </c>
      <c r="D4" s="9" t="s">
        <v>30</v>
      </c>
      <c r="E4" s="9" t="s">
        <v>31</v>
      </c>
      <c r="F4" s="9"/>
      <c r="G4" s="10"/>
      <c r="H4" s="10"/>
      <c r="I4" s="11"/>
      <c r="J4" s="11" t="s">
        <v>32</v>
      </c>
      <c r="K4" s="11"/>
    </row>
    <row r="5" customFormat="false" ht="15" hidden="false" customHeight="false" outlineLevel="0" collapsed="false">
      <c r="A5" s="8" t="s">
        <v>37</v>
      </c>
      <c r="B5" s="9" t="s">
        <v>28</v>
      </c>
      <c r="C5" s="9" t="s">
        <v>38</v>
      </c>
      <c r="D5" s="9" t="s">
        <v>30</v>
      </c>
      <c r="E5" s="9" t="s">
        <v>39</v>
      </c>
      <c r="F5" s="9"/>
      <c r="G5" s="10"/>
      <c r="H5" s="10"/>
      <c r="I5" s="11"/>
      <c r="J5" s="11" t="s">
        <v>32</v>
      </c>
      <c r="K5" s="11"/>
    </row>
    <row r="6" customFormat="false" ht="15" hidden="false" customHeight="false" outlineLevel="0" collapsed="false">
      <c r="A6" s="8" t="s">
        <v>40</v>
      </c>
      <c r="B6" s="9" t="s">
        <v>28</v>
      </c>
      <c r="C6" s="9" t="s">
        <v>41</v>
      </c>
      <c r="D6" s="9" t="s">
        <v>42</v>
      </c>
      <c r="E6" s="9" t="s">
        <v>43</v>
      </c>
      <c r="F6" s="9"/>
      <c r="G6" s="10"/>
      <c r="H6" s="10"/>
      <c r="I6" s="11"/>
      <c r="J6" s="11" t="s">
        <v>32</v>
      </c>
      <c r="K6" s="11"/>
    </row>
    <row r="7" customFormat="false" ht="15" hidden="false" customHeight="false" outlineLevel="0" collapsed="false">
      <c r="A7" s="8" t="s">
        <v>44</v>
      </c>
      <c r="B7" s="9" t="s">
        <v>28</v>
      </c>
      <c r="C7" s="9" t="s">
        <v>45</v>
      </c>
      <c r="D7" s="9" t="s">
        <v>42</v>
      </c>
      <c r="E7" s="9" t="s">
        <v>43</v>
      </c>
      <c r="F7" s="9"/>
      <c r="G7" s="10"/>
      <c r="H7" s="10"/>
      <c r="I7" s="11"/>
      <c r="J7" s="11" t="s">
        <v>32</v>
      </c>
      <c r="K7" s="11"/>
    </row>
    <row r="8" customFormat="false" ht="15" hidden="false" customHeight="false" outlineLevel="0" collapsed="false">
      <c r="A8" s="8" t="s">
        <v>46</v>
      </c>
      <c r="B8" s="9" t="s">
        <v>28</v>
      </c>
      <c r="C8" s="9" t="s">
        <v>47</v>
      </c>
      <c r="D8" s="9" t="s">
        <v>48</v>
      </c>
      <c r="E8" s="9" t="s">
        <v>49</v>
      </c>
      <c r="F8" s="9"/>
      <c r="G8" s="10"/>
      <c r="H8" s="10"/>
      <c r="I8" s="11"/>
      <c r="J8" s="11" t="s">
        <v>32</v>
      </c>
      <c r="K8" s="11"/>
    </row>
    <row r="9" customFormat="false" ht="15" hidden="false" customHeight="false" outlineLevel="0" collapsed="false">
      <c r="A9" s="8" t="s">
        <v>50</v>
      </c>
      <c r="B9" s="9" t="s">
        <v>51</v>
      </c>
      <c r="C9" s="9" t="s">
        <v>52</v>
      </c>
      <c r="D9" s="9" t="s">
        <v>53</v>
      </c>
      <c r="E9" s="9" t="s">
        <v>54</v>
      </c>
      <c r="F9" s="9"/>
      <c r="G9" s="10"/>
      <c r="H9" s="10"/>
      <c r="I9" s="11"/>
      <c r="J9" s="11" t="s">
        <v>32</v>
      </c>
      <c r="K9" s="11"/>
    </row>
    <row r="10" customFormat="false" ht="15" hidden="false" customHeight="false" outlineLevel="0" collapsed="false">
      <c r="A10" s="8" t="s">
        <v>55</v>
      </c>
      <c r="B10" s="9" t="s">
        <v>51</v>
      </c>
      <c r="C10" s="9" t="s">
        <v>56</v>
      </c>
      <c r="D10" s="9" t="s">
        <v>57</v>
      </c>
      <c r="E10" s="9" t="s">
        <v>58</v>
      </c>
      <c r="F10" s="9"/>
      <c r="G10" s="10"/>
      <c r="H10" s="10"/>
      <c r="I10" s="11"/>
      <c r="J10" s="11" t="s">
        <v>32</v>
      </c>
      <c r="K10" s="11"/>
    </row>
    <row r="11" customFormat="false" ht="15" hidden="false" customHeight="false" outlineLevel="0" collapsed="false">
      <c r="A11" s="8" t="s">
        <v>59</v>
      </c>
      <c r="B11" s="9" t="s">
        <v>51</v>
      </c>
      <c r="C11" s="9" t="s">
        <v>60</v>
      </c>
      <c r="D11" s="9" t="s">
        <v>61</v>
      </c>
      <c r="E11" s="9" t="s">
        <v>62</v>
      </c>
      <c r="F11" s="9"/>
      <c r="G11" s="10"/>
      <c r="H11" s="10"/>
      <c r="I11" s="11"/>
      <c r="J11" s="11" t="s">
        <v>32</v>
      </c>
      <c r="K11" s="11"/>
    </row>
    <row r="12" customFormat="false" ht="15" hidden="false" customHeight="false" outlineLevel="0" collapsed="false">
      <c r="A12" s="8" t="s">
        <v>63</v>
      </c>
      <c r="B12" s="9" t="s">
        <v>64</v>
      </c>
      <c r="C12" s="9" t="s">
        <v>65</v>
      </c>
      <c r="D12" s="9" t="s">
        <v>66</v>
      </c>
      <c r="E12" s="9" t="s">
        <v>67</v>
      </c>
      <c r="F12" s="9" t="s">
        <v>68</v>
      </c>
      <c r="G12" s="10"/>
      <c r="H12" s="10"/>
      <c r="I12" s="11"/>
      <c r="J12" s="11" t="s">
        <v>32</v>
      </c>
      <c r="K12" s="11"/>
    </row>
    <row r="13" customFormat="false" ht="35.05" hidden="false" customHeight="false" outlineLevel="0" collapsed="false">
      <c r="A13" s="8" t="s">
        <v>69</v>
      </c>
      <c r="B13" s="9" t="s">
        <v>64</v>
      </c>
      <c r="C13" s="9" t="s">
        <v>70</v>
      </c>
      <c r="D13" s="9" t="s">
        <v>66</v>
      </c>
      <c r="E13" s="9" t="s">
        <v>71</v>
      </c>
      <c r="F13" s="9" t="s">
        <v>72</v>
      </c>
      <c r="G13" s="10"/>
      <c r="H13" s="10"/>
      <c r="I13" s="11"/>
      <c r="J13" s="11" t="s">
        <v>32</v>
      </c>
      <c r="K13" s="11"/>
    </row>
    <row r="14" customFormat="false" ht="15" hidden="false" customHeight="false" outlineLevel="0" collapsed="false">
      <c r="A14" s="8" t="s">
        <v>73</v>
      </c>
      <c r="B14" s="9" t="s">
        <v>74</v>
      </c>
      <c r="C14" s="9" t="s">
        <v>75</v>
      </c>
      <c r="D14" s="9" t="s">
        <v>76</v>
      </c>
      <c r="E14" s="9" t="s">
        <v>77</v>
      </c>
      <c r="F14" s="9"/>
      <c r="G14" s="10"/>
      <c r="H14" s="10"/>
      <c r="I14" s="11"/>
      <c r="J14" s="11" t="s">
        <v>32</v>
      </c>
      <c r="K14" s="11"/>
    </row>
    <row r="15" customFormat="false" ht="15" hidden="false" customHeight="false" outlineLevel="0" collapsed="false">
      <c r="A15" s="8" t="s">
        <v>78</v>
      </c>
      <c r="B15" s="11"/>
      <c r="C15" s="11"/>
      <c r="D15" s="11"/>
      <c r="E15" s="11"/>
      <c r="F15" s="11"/>
      <c r="G15" s="10"/>
      <c r="H15" s="10"/>
      <c r="I15" s="11"/>
      <c r="J15" s="11"/>
      <c r="K15" s="11"/>
    </row>
    <row r="16" customFormat="false" ht="15" hidden="false" customHeight="false" outlineLevel="0" collapsed="false">
      <c r="A16" s="8"/>
      <c r="B16" s="11"/>
      <c r="C16" s="11"/>
      <c r="D16" s="11"/>
      <c r="E16" s="11"/>
      <c r="F16" s="11"/>
      <c r="G16" s="10"/>
      <c r="H16" s="10"/>
      <c r="I16" s="11"/>
      <c r="J16" s="11"/>
      <c r="K16" s="11"/>
    </row>
    <row r="17" customFormat="false" ht="15" hidden="false" customHeight="false" outlineLevel="0" collapsed="false">
      <c r="A17" s="8"/>
      <c r="B17" s="11"/>
      <c r="C17" s="11"/>
      <c r="D17" s="11"/>
      <c r="E17" s="11"/>
      <c r="F17" s="11"/>
      <c r="G17" s="10"/>
      <c r="H17" s="10"/>
      <c r="I17" s="11"/>
      <c r="J17" s="11"/>
      <c r="K17" s="11"/>
    </row>
    <row r="18" customFormat="false" ht="15" hidden="false" customHeight="false" outlineLevel="0" collapsed="false">
      <c r="A18" s="8"/>
      <c r="B18" s="11"/>
      <c r="C18" s="11"/>
      <c r="D18" s="11"/>
      <c r="E18" s="11"/>
      <c r="F18" s="11"/>
      <c r="G18" s="10"/>
      <c r="H18" s="10"/>
      <c r="I18" s="11"/>
      <c r="J18" s="11"/>
      <c r="K18" s="11"/>
    </row>
    <row r="19" customFormat="false" ht="15" hidden="false" customHeight="false" outlineLevel="0" collapsed="false">
      <c r="A19" s="8"/>
      <c r="B19" s="11"/>
      <c r="C19" s="11"/>
      <c r="D19" s="11"/>
      <c r="E19" s="11"/>
      <c r="F19" s="11"/>
      <c r="G19" s="10"/>
      <c r="H19" s="10"/>
      <c r="I19" s="11"/>
      <c r="J19" s="11"/>
      <c r="K19" s="11"/>
    </row>
    <row r="20" customFormat="false" ht="15" hidden="false" customHeight="false" outlineLevel="0" collapsed="false">
      <c r="A20" s="8"/>
      <c r="B20" s="11"/>
      <c r="C20" s="11"/>
      <c r="D20" s="11"/>
      <c r="E20" s="11"/>
      <c r="F20" s="11"/>
      <c r="G20" s="10"/>
      <c r="H20" s="10"/>
      <c r="I20" s="11"/>
      <c r="J20" s="11"/>
      <c r="K20" s="11"/>
    </row>
    <row r="21" customFormat="false" ht="15" hidden="false" customHeight="false" outlineLevel="0" collapsed="false">
      <c r="A21" s="8"/>
      <c r="B21" s="11"/>
      <c r="C21" s="11"/>
      <c r="D21" s="11"/>
      <c r="E21" s="11"/>
      <c r="F21" s="11"/>
      <c r="G21" s="10"/>
      <c r="H21" s="10"/>
      <c r="I21" s="11"/>
      <c r="J21" s="11"/>
      <c r="K21" s="11"/>
    </row>
    <row r="22" customFormat="false" ht="15" hidden="false" customHeight="false" outlineLevel="0" collapsed="false">
      <c r="A22" s="8"/>
      <c r="B22" s="11"/>
      <c r="C22" s="11"/>
      <c r="D22" s="11"/>
      <c r="E22" s="11"/>
      <c r="F22" s="11"/>
      <c r="G22" s="10"/>
      <c r="H22" s="10"/>
      <c r="I22" s="11"/>
      <c r="J22" s="11"/>
      <c r="K22" s="11"/>
    </row>
    <row r="23" customFormat="false" ht="15" hidden="false" customHeight="false" outlineLevel="0" collapsed="false">
      <c r="A23" s="8"/>
      <c r="B23" s="11"/>
      <c r="C23" s="11"/>
      <c r="D23" s="11"/>
      <c r="E23" s="11"/>
      <c r="F23" s="11"/>
      <c r="G23" s="10"/>
      <c r="H23" s="10"/>
      <c r="I23" s="11"/>
      <c r="J23" s="11"/>
      <c r="K23" s="11"/>
    </row>
    <row r="24" customFormat="false" ht="15" hidden="false" customHeight="false" outlineLevel="0" collapsed="false">
      <c r="A24" s="8"/>
      <c r="B24" s="11"/>
      <c r="C24" s="11"/>
      <c r="D24" s="11"/>
      <c r="E24" s="11"/>
      <c r="F24" s="11"/>
      <c r="G24" s="10"/>
      <c r="H24" s="10"/>
      <c r="I24" s="11"/>
      <c r="J24" s="11"/>
      <c r="K24" s="11"/>
    </row>
    <row r="26" customFormat="false" ht="15" hidden="false" customHeight="false" outlineLevel="0" collapsed="false">
      <c r="A26" s="12" t="s">
        <v>79</v>
      </c>
    </row>
  </sheetData>
  <dataValidations count="3">
    <dataValidation allowBlank="true" errorStyle="stop" operator="between" showDropDown="false" showErrorMessage="false" showInputMessage="false" sqref="J2:J54" type="list">
      <formula1>"Disponível,Esgotado"</formula1>
      <formula2>0</formula2>
    </dataValidation>
    <dataValidation allowBlank="true" error="Use um número inteiro: 1 para o que mais vende." errorStyle="stop" operator="between" showDropDown="false" showErrorMessage="false" showInputMessage="false" sqref="I2:I54" type="whole">
      <formula1>1</formula1>
      <formula2>999</formula2>
    </dataValidation>
    <dataValidation allowBlank="true" errorStyle="stop" operator="between" showDropDown="false" showErrorMessage="false" showInputMessage="false" sqref="B2:B54" type="list">
      <formula1>Categorias!$B$2:$B$13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5" min="3" style="0" width="26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26"/>
  </cols>
  <sheetData>
    <row r="1" customFormat="false" ht="31.5" hidden="false" customHeight="true" outlineLevel="0" collapsed="false">
      <c r="A1" s="7" t="s">
        <v>16</v>
      </c>
      <c r="B1" s="7" t="s">
        <v>80</v>
      </c>
      <c r="C1" s="7" t="s">
        <v>81</v>
      </c>
      <c r="D1" s="7" t="s">
        <v>82</v>
      </c>
      <c r="E1" s="7" t="s">
        <v>83</v>
      </c>
      <c r="F1" s="7" t="s">
        <v>84</v>
      </c>
      <c r="G1" s="7" t="s">
        <v>85</v>
      </c>
      <c r="H1" s="7" t="s">
        <v>86</v>
      </c>
      <c r="I1" s="7" t="s">
        <v>87</v>
      </c>
      <c r="J1" s="7" t="s">
        <v>25</v>
      </c>
      <c r="K1" s="7" t="s">
        <v>26</v>
      </c>
    </row>
    <row r="2" customFormat="false" ht="15" hidden="false" customHeight="false" outlineLevel="0" collapsed="false">
      <c r="A2" s="8" t="s">
        <v>88</v>
      </c>
      <c r="B2" s="9" t="s">
        <v>89</v>
      </c>
      <c r="C2" s="9" t="s">
        <v>29</v>
      </c>
      <c r="D2" s="9" t="s">
        <v>52</v>
      </c>
      <c r="E2" s="9" t="s">
        <v>47</v>
      </c>
      <c r="F2" s="13" t="n">
        <f aca="false">IF(C2="",0,SUMIF(Produtos!$C$2:$C$24,C2,Produtos!$G$2:$G$24))+IF(D2="",0,SUMIF(Produtos!$C$2:$C$24,D2,Produtos!$G$2:$G$24))+IF(E2="",0,SUMIF(Produtos!$C$2:$C$24,E2,Produtos!$G$2:$G$24))</f>
        <v>0</v>
      </c>
      <c r="G2" s="10"/>
      <c r="H2" s="13" t="str">
        <f aca="false">IF(OR(G2="",F2=0),"",F2-G2)</f>
        <v/>
      </c>
      <c r="I2" s="14" t="str">
        <f aca="false">IF(OR(G2="",F2=0),"",(F2-G2)/F2)</f>
        <v/>
      </c>
      <c r="J2" s="11" t="s">
        <v>32</v>
      </c>
      <c r="K2" s="11"/>
    </row>
    <row r="3" customFormat="false" ht="15" hidden="false" customHeight="false" outlineLevel="0" collapsed="false">
      <c r="A3" s="8" t="s">
        <v>90</v>
      </c>
      <c r="B3" s="9" t="s">
        <v>91</v>
      </c>
      <c r="C3" s="9" t="s">
        <v>29</v>
      </c>
      <c r="D3" s="9" t="s">
        <v>34</v>
      </c>
      <c r="E3" s="9" t="s">
        <v>36</v>
      </c>
      <c r="F3" s="13" t="n">
        <f aca="false">IF(C3="",0,SUMIF(Produtos!$C$2:$C$24,C3,Produtos!$G$2:$G$24))+IF(D3="",0,SUMIF(Produtos!$C$2:$C$24,D3,Produtos!$G$2:$G$24))+IF(E3="",0,SUMIF(Produtos!$C$2:$C$24,E3,Produtos!$G$2:$G$24))</f>
        <v>0</v>
      </c>
      <c r="G3" s="10"/>
      <c r="H3" s="13" t="str">
        <f aca="false">IF(OR(G3="",F3=0),"",F3-G3)</f>
        <v/>
      </c>
      <c r="I3" s="14" t="str">
        <f aca="false">IF(OR(G3="",F3=0),"",(F3-G3)/F3)</f>
        <v/>
      </c>
      <c r="J3" s="11" t="s">
        <v>32</v>
      </c>
      <c r="K3" s="11"/>
    </row>
    <row r="4" customFormat="false" ht="15" hidden="false" customHeight="false" outlineLevel="0" collapsed="false">
      <c r="A4" s="8" t="s">
        <v>92</v>
      </c>
      <c r="B4" s="9" t="s">
        <v>93</v>
      </c>
      <c r="C4" s="9" t="s">
        <v>52</v>
      </c>
      <c r="D4" s="9" t="s">
        <v>56</v>
      </c>
      <c r="E4" s="9" t="s">
        <v>60</v>
      </c>
      <c r="F4" s="13" t="n">
        <f aca="false">IF(C4="",0,SUMIF(Produtos!$C$2:$C$24,C4,Produtos!$G$2:$G$24))+IF(D4="",0,SUMIF(Produtos!$C$2:$C$24,D4,Produtos!$G$2:$G$24))+IF(E4="",0,SUMIF(Produtos!$C$2:$C$24,E4,Produtos!$G$2:$G$24))</f>
        <v>0</v>
      </c>
      <c r="G4" s="10"/>
      <c r="H4" s="13" t="str">
        <f aca="false">IF(OR(G4="",F4=0),"",F4-G4)</f>
        <v/>
      </c>
      <c r="I4" s="14" t="str">
        <f aca="false">IF(OR(G4="",F4=0),"",(F4-G4)/F4)</f>
        <v/>
      </c>
      <c r="J4" s="11" t="s">
        <v>32</v>
      </c>
      <c r="K4" s="11"/>
    </row>
    <row r="5" customFormat="false" ht="15" hidden="false" customHeight="false" outlineLevel="0" collapsed="false">
      <c r="A5" s="8" t="s">
        <v>94</v>
      </c>
      <c r="B5" s="9" t="s">
        <v>95</v>
      </c>
      <c r="C5" s="9" t="s">
        <v>75</v>
      </c>
      <c r="D5" s="9" t="s">
        <v>36</v>
      </c>
      <c r="E5" s="9"/>
      <c r="F5" s="13" t="n">
        <f aca="false">IF(C5="",0,SUMIF(Produtos!$C$2:$C$24,C5,Produtos!$G$2:$G$24))+IF(D5="",0,SUMIF(Produtos!$C$2:$C$24,D5,Produtos!$G$2:$G$24))+IF(E5="",0,SUMIF(Produtos!$C$2:$C$24,E5,Produtos!$G$2:$G$24))</f>
        <v>0</v>
      </c>
      <c r="G5" s="10"/>
      <c r="H5" s="13" t="str">
        <f aca="false">IF(OR(G5="",F5=0),"",F5-G5)</f>
        <v/>
      </c>
      <c r="I5" s="14" t="str">
        <f aca="false">IF(OR(G5="",F5=0),"",(F5-G5)/F5)</f>
        <v/>
      </c>
      <c r="J5" s="11" t="s">
        <v>32</v>
      </c>
      <c r="K5" s="11"/>
    </row>
    <row r="7" customFormat="false" ht="15" hidden="false" customHeight="false" outlineLevel="0" collapsed="false">
      <c r="B7" s="12" t="s">
        <v>96</v>
      </c>
    </row>
  </sheetData>
  <dataValidations count="2">
    <dataValidation allowBlank="true" errorStyle="stop" operator="between" showDropDown="false" showErrorMessage="false" showInputMessage="false" sqref="J2:J5" type="list">
      <formula1>"Disponível,Esgotado"</formula1>
      <formula2>0</formula2>
    </dataValidation>
    <dataValidation allowBlank="true" errorStyle="stop" operator="between" showDropDown="false" showErrorMessage="false" showInputMessage="false" sqref="C2:E5" type="list">
      <formula1>Produtos!$C$2:$C$24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7" t="s">
        <v>97</v>
      </c>
      <c r="B1" s="7" t="s">
        <v>17</v>
      </c>
      <c r="C1" s="7" t="s">
        <v>98</v>
      </c>
      <c r="D1" s="7" t="s">
        <v>99</v>
      </c>
    </row>
    <row r="2" customFormat="false" ht="15" hidden="false" customHeight="false" outlineLevel="0" collapsed="false">
      <c r="A2" s="9" t="n">
        <v>1</v>
      </c>
      <c r="B2" s="9" t="s">
        <v>28</v>
      </c>
      <c r="C2" s="9" t="n">
        <f aca="false">COUNTIF(Produtos!$B$2:$B$24,B2)</f>
        <v>7</v>
      </c>
      <c r="D2" s="9" t="str">
        <f aca="false">IF(C2=0,"Sem produtos: mostra aviso de WhatsApp","Com produtos")</f>
        <v>Com produtos</v>
      </c>
    </row>
    <row r="3" customFormat="false" ht="23.85" hidden="false" customHeight="false" outlineLevel="0" collapsed="false">
      <c r="A3" s="9" t="n">
        <v>2</v>
      </c>
      <c r="B3" s="9" t="s">
        <v>100</v>
      </c>
      <c r="C3" s="9" t="n">
        <f aca="false">COUNTIF(Produtos!$B$2:$B$24,B3)</f>
        <v>0</v>
      </c>
      <c r="D3" s="9" t="str">
        <f aca="false">IF(C3=0,"Sem produtos: mostra aviso de WhatsApp","Com produtos")</f>
        <v>Sem produtos: mostra aviso de WhatsApp</v>
      </c>
    </row>
    <row r="4" customFormat="false" ht="15" hidden="false" customHeight="false" outlineLevel="0" collapsed="false">
      <c r="A4" s="9" t="n">
        <v>3</v>
      </c>
      <c r="B4" s="9" t="s">
        <v>51</v>
      </c>
      <c r="C4" s="9" t="n">
        <f aca="false">COUNTIF(Produtos!$B$2:$B$24,B4)</f>
        <v>3</v>
      </c>
      <c r="D4" s="9" t="str">
        <f aca="false">IF(C4=0,"Sem produtos: mostra aviso de WhatsApp","Com produtos")</f>
        <v>Com produtos</v>
      </c>
    </row>
    <row r="5" customFormat="false" ht="23.85" hidden="false" customHeight="false" outlineLevel="0" collapsed="false">
      <c r="A5" s="9" t="n">
        <v>4</v>
      </c>
      <c r="B5" s="9" t="s">
        <v>101</v>
      </c>
      <c r="C5" s="9" t="n">
        <f aca="false">COUNTIF(Produtos!$B$2:$B$24,B5)</f>
        <v>0</v>
      </c>
      <c r="D5" s="9" t="str">
        <f aca="false">IF(C5=0,"Sem produtos: mostra aviso de WhatsApp","Com produtos")</f>
        <v>Sem produtos: mostra aviso de WhatsApp</v>
      </c>
    </row>
    <row r="6" customFormat="false" ht="15" hidden="false" customHeight="false" outlineLevel="0" collapsed="false">
      <c r="A6" s="9" t="n">
        <v>5</v>
      </c>
      <c r="B6" s="9" t="s">
        <v>64</v>
      </c>
      <c r="C6" s="9" t="n">
        <f aca="false">COUNTIF(Produtos!$B$2:$B$24,B6)</f>
        <v>2</v>
      </c>
      <c r="D6" s="9" t="str">
        <f aca="false">IF(C6=0,"Sem produtos: mostra aviso de WhatsApp","Com produtos")</f>
        <v>Com produtos</v>
      </c>
    </row>
    <row r="7" customFormat="false" ht="23.85" hidden="false" customHeight="false" outlineLevel="0" collapsed="false">
      <c r="A7" s="9" t="n">
        <v>6</v>
      </c>
      <c r="B7" s="9" t="s">
        <v>102</v>
      </c>
      <c r="C7" s="9" t="n">
        <f aca="false">COUNTIF(Produtos!$B$2:$B$24,B7)</f>
        <v>0</v>
      </c>
      <c r="D7" s="9" t="str">
        <f aca="false">IF(C7=0,"Sem produtos: mostra aviso de WhatsApp","Com produtos")</f>
        <v>Sem produtos: mostra aviso de WhatsApp</v>
      </c>
    </row>
    <row r="8" customFormat="false" ht="23.85" hidden="false" customHeight="false" outlineLevel="0" collapsed="false">
      <c r="A8" s="9" t="n">
        <v>7</v>
      </c>
      <c r="B8" s="9" t="s">
        <v>103</v>
      </c>
      <c r="C8" s="9" t="n">
        <f aca="false">COUNTIF(Produtos!$B$2:$B$24,B8)</f>
        <v>0</v>
      </c>
      <c r="D8" s="9" t="str">
        <f aca="false">IF(C8=0,"Sem produtos: mostra aviso de WhatsApp","Com produtos")</f>
        <v>Sem produtos: mostra aviso de WhatsApp</v>
      </c>
    </row>
    <row r="9" customFormat="false" ht="23.85" hidden="false" customHeight="false" outlineLevel="0" collapsed="false">
      <c r="A9" s="9" t="n">
        <v>8</v>
      </c>
      <c r="B9" s="9" t="s">
        <v>104</v>
      </c>
      <c r="C9" s="9" t="n">
        <f aca="false">COUNTIF(Produtos!$B$2:$B$24,B9)</f>
        <v>0</v>
      </c>
      <c r="D9" s="9" t="str">
        <f aca="false">IF(C9=0,"Sem produtos: mostra aviso de WhatsApp","Com produtos")</f>
        <v>Sem produtos: mostra aviso de WhatsApp</v>
      </c>
    </row>
    <row r="10" customFormat="false" ht="15" hidden="false" customHeight="false" outlineLevel="0" collapsed="false">
      <c r="A10" s="9" t="n">
        <v>9</v>
      </c>
      <c r="B10" s="9" t="s">
        <v>74</v>
      </c>
      <c r="C10" s="9" t="n">
        <f aca="false">COUNTIF(Produtos!$B$2:$B$24,B10)</f>
        <v>1</v>
      </c>
      <c r="D10" s="9" t="str">
        <f aca="false">IF(C10=0,"Sem produtos: mostra aviso de WhatsApp","Com produtos")</f>
        <v>Com produtos</v>
      </c>
    </row>
    <row r="11" customFormat="false" ht="15" hidden="false" customHeight="false" outlineLevel="0" collapsed="false">
      <c r="A11" s="9" t="n">
        <v>10</v>
      </c>
      <c r="B11" s="9" t="s">
        <v>105</v>
      </c>
      <c r="C11" s="9" t="n">
        <f aca="false">COUNTA(Kits!$B$2:$B$5)</f>
        <v>4</v>
      </c>
      <c r="D11" s="9" t="str">
        <f aca="false">IF(C11=0,"Sem produtos: mostra aviso de WhatsApp","Com produtos")</f>
        <v>Com produtos</v>
      </c>
    </row>
    <row r="12" customFormat="false" ht="23.85" hidden="false" customHeight="false" outlineLevel="0" collapsed="false">
      <c r="A12" s="9" t="n">
        <v>11</v>
      </c>
      <c r="B12" s="9" t="s">
        <v>106</v>
      </c>
      <c r="C12" s="9" t="n">
        <f aca="false">COUNTIF(Produtos!$B$2:$B$24,B12)</f>
        <v>0</v>
      </c>
      <c r="D12" s="9" t="str">
        <f aca="false">IF(C12=0,"Sem produtos: mostra aviso de WhatsApp","Com produtos")</f>
        <v>Sem produtos: mostra aviso de WhatsApp</v>
      </c>
    </row>
    <row r="13" customFormat="false" ht="23.85" hidden="false" customHeight="false" outlineLevel="0" collapsed="false">
      <c r="A13" s="9" t="n">
        <v>12</v>
      </c>
      <c r="B13" s="9" t="s">
        <v>107</v>
      </c>
      <c r="C13" s="9" t="n">
        <f aca="false">COUNTIF(Produtos!$B$2:$B$24,B13)</f>
        <v>0</v>
      </c>
      <c r="D13" s="9" t="str">
        <f aca="false">IF(C13=0,"Sem produtos: mostra aviso de WhatsApp","Com produtos")</f>
        <v>Sem produtos: mostra aviso de WhatsApp</v>
      </c>
    </row>
    <row r="14" customFormat="false" ht="15" hidden="false" customHeight="false" outlineLevel="0" collapsed="false">
      <c r="B14" s="15" t="s">
        <v>108</v>
      </c>
      <c r="C14" s="15" t="n">
        <f aca="false">SUM(C2:C13)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3" min="3" style="0" width="50"/>
  </cols>
  <sheetData>
    <row r="1" customFormat="false" ht="31.5" hidden="false" customHeight="true" outlineLevel="0" collapsed="false">
      <c r="A1" s="7" t="s">
        <v>109</v>
      </c>
      <c r="B1" s="7" t="s">
        <v>110</v>
      </c>
      <c r="C1" s="7" t="s">
        <v>111</v>
      </c>
    </row>
    <row r="2" customFormat="false" ht="22.35" hidden="false" customHeight="false" outlineLevel="0" collapsed="false">
      <c r="A2" s="16" t="s">
        <v>112</v>
      </c>
      <c r="B2" s="11"/>
      <c r="C2" s="17" t="s">
        <v>113</v>
      </c>
    </row>
    <row r="3" customFormat="false" ht="15" hidden="false" customHeight="false" outlineLevel="0" collapsed="false">
      <c r="A3" s="16" t="s">
        <v>114</v>
      </c>
      <c r="B3" s="11"/>
      <c r="C3" s="17" t="s">
        <v>115</v>
      </c>
    </row>
    <row r="4" customFormat="false" ht="15" hidden="false" customHeight="false" outlineLevel="0" collapsed="false">
      <c r="A4" s="16" t="s">
        <v>116</v>
      </c>
      <c r="B4" s="11"/>
      <c r="C4" s="17" t="s">
        <v>117</v>
      </c>
    </row>
    <row r="5" customFormat="false" ht="15" hidden="false" customHeight="false" outlineLevel="0" collapsed="false">
      <c r="A5" s="16" t="s">
        <v>118</v>
      </c>
      <c r="B5" s="11"/>
      <c r="C5" s="17" t="s">
        <v>119</v>
      </c>
    </row>
    <row r="6" customFormat="false" ht="15" hidden="false" customHeight="false" outlineLevel="0" collapsed="false">
      <c r="A6" s="16" t="s">
        <v>120</v>
      </c>
      <c r="B6" s="10"/>
      <c r="C6" s="17" t="s">
        <v>121</v>
      </c>
    </row>
    <row r="7" customFormat="false" ht="15" hidden="false" customHeight="false" outlineLevel="0" collapsed="false">
      <c r="A7" s="16" t="s">
        <v>122</v>
      </c>
      <c r="B7" s="11"/>
      <c r="C7" s="17" t="s">
        <v>123</v>
      </c>
    </row>
    <row r="8" customFormat="false" ht="15" hidden="false" customHeight="false" outlineLevel="0" collapsed="false">
      <c r="A8" s="16" t="s">
        <v>124</v>
      </c>
      <c r="B8" s="11"/>
      <c r="C8" s="17" t="s">
        <v>125</v>
      </c>
    </row>
    <row r="9" customFormat="false" ht="15" hidden="false" customHeight="false" outlineLevel="0" collapsed="false">
      <c r="A9" s="16" t="s">
        <v>126</v>
      </c>
      <c r="B9" s="9" t="s">
        <v>127</v>
      </c>
      <c r="C9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2026-10-02T03:16:50Z</dcterms:created>
  <dc:creator>openpyxl</dc:creator>
  <dc:description/>
  <dc:language>en-US</dc:language>
  <cp:lastModifiedBy/>
  <dcterms:modified xsi:type="dcterms:W3CDTF">2026-10-02T03:16:50Z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